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280b53ee627f9df/Documents/"/>
    </mc:Choice>
  </mc:AlternateContent>
  <xr:revisionPtr revIDLastSave="0" documentId="8_{C971DFEB-2E34-40E2-93C9-18681AEAF466}" xr6:coauthVersionLast="47" xr6:coauthVersionMax="47" xr10:uidLastSave="{00000000-0000-0000-0000-000000000000}"/>
  <bookViews>
    <workbookView xWindow="-98" yWindow="-98" windowWidth="21795" windowHeight="13695" xr2:uid="{067A333B-C1D7-4B10-97C4-D2903AE2A12F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" i="1" l="1"/>
  <c r="K4" i="1"/>
  <c r="K5" i="1"/>
  <c r="K6" i="1"/>
  <c r="K2" i="1"/>
  <c r="J3" i="1"/>
  <c r="J4" i="1"/>
  <c r="J5" i="1"/>
  <c r="J6" i="1"/>
  <c r="J2" i="1"/>
  <c r="I3" i="1"/>
  <c r="I4" i="1"/>
  <c r="I5" i="1"/>
  <c r="I6" i="1"/>
  <c r="I2" i="1"/>
  <c r="G3" i="1"/>
  <c r="G4" i="1"/>
  <c r="G5" i="1"/>
  <c r="G6" i="1"/>
  <c r="G2" i="1"/>
  <c r="H3" i="1"/>
  <c r="H4" i="1"/>
  <c r="H5" i="1"/>
  <c r="H6" i="1"/>
  <c r="H2" i="1"/>
  <c r="F3" i="1"/>
  <c r="F4" i="1"/>
  <c r="F5" i="1"/>
  <c r="F6" i="1"/>
  <c r="F2" i="1"/>
</calcChain>
</file>

<file path=xl/sharedStrings.xml><?xml version="1.0" encoding="utf-8"?>
<sst xmlns="http://schemas.openxmlformats.org/spreadsheetml/2006/main" count="36" uniqueCount="34">
  <si>
    <t>merchant_id</t>
  </si>
  <si>
    <t>merchant_name</t>
  </si>
  <si>
    <t>account_manager</t>
  </si>
  <si>
    <t>merchant_category</t>
  </si>
  <si>
    <t>default_region</t>
  </si>
  <si>
    <t>M001</t>
  </si>
  <si>
    <t>Alpha Mart</t>
  </si>
  <si>
    <t>Aisha Khan</t>
  </si>
  <si>
    <t>Grocery</t>
  </si>
  <si>
    <t>APAC</t>
  </si>
  <si>
    <t>M002</t>
  </si>
  <si>
    <t>Beta Stores</t>
  </si>
  <si>
    <t>Rohan Mehta</t>
  </si>
  <si>
    <t>Electronics</t>
  </si>
  <si>
    <t>M003</t>
  </si>
  <si>
    <t>City Pharma</t>
  </si>
  <si>
    <t>Elena Rossi</t>
  </si>
  <si>
    <t>Healthcare</t>
  </si>
  <si>
    <t>EU</t>
  </si>
  <si>
    <t>M004</t>
  </si>
  <si>
    <t>Delta Travels</t>
  </si>
  <si>
    <t>Marcus Lee</t>
  </si>
  <si>
    <t>Travel</t>
  </si>
  <si>
    <t>US</t>
  </si>
  <si>
    <t>M005</t>
  </si>
  <si>
    <t>Eco Home</t>
  </si>
  <si>
    <t>Nina Weber</t>
  </si>
  <si>
    <t>Home</t>
  </si>
  <si>
    <t>total_gmv</t>
  </si>
  <si>
    <t>captured_gmv</t>
  </si>
  <si>
    <t>total_transactions</t>
  </si>
  <si>
    <t>captured_transactions</t>
  </si>
  <si>
    <t>chargeback_transactions</t>
  </si>
  <si>
    <t>chargeback_percentage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</si>
</sst>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">
    <xf numFmtId="0" fontId="0" fillId="0" borderId="0" xfId="0"/>
    <xf numFmtId="9" fontId="0" fillId="0" borderId="0" xfId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d280b53ee627f9df/Documents/GitHub/README.md/processed/cleaned_transactions.xlsx" TargetMode="External"/><Relationship Id="rId1" Type="http://schemas.openxmlformats.org/officeDocument/2006/relationships/externalLinkPath" Target="GitHub/README.md/processed/cleaned_transaction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ransactions_raw"/>
    </sheetNames>
    <sheetDataSet>
      <sheetData sheetId="0">
        <row r="2">
          <cell r="C2" t="str">
            <v>Alpha Mart</v>
          </cell>
          <cell r="F2">
            <v>4998</v>
          </cell>
          <cell r="G2" t="str">
            <v>Captured</v>
          </cell>
        </row>
        <row r="3">
          <cell r="C3" t="str">
            <v>Alpha Mart</v>
          </cell>
          <cell r="F3">
            <v>2499</v>
          </cell>
          <cell r="G3" t="str">
            <v>Captured</v>
          </cell>
        </row>
        <row r="4">
          <cell r="C4" t="str">
            <v>Beta Stores</v>
          </cell>
          <cell r="F4">
            <v>6069</v>
          </cell>
          <cell r="G4" t="str">
            <v>Captured</v>
          </cell>
        </row>
        <row r="5">
          <cell r="C5" t="str">
            <v>Beta Stores</v>
          </cell>
          <cell r="F5">
            <v>1920</v>
          </cell>
          <cell r="G5" t="str">
            <v>Failed E05 Timeout</v>
          </cell>
        </row>
        <row r="6">
          <cell r="C6" t="str">
            <v>Alpha Mart</v>
          </cell>
          <cell r="F6">
            <v>4680</v>
          </cell>
          <cell r="G6" t="str">
            <v>Captured</v>
          </cell>
        </row>
        <row r="7">
          <cell r="C7" t="str">
            <v>Beta Stores</v>
          </cell>
          <cell r="F7">
            <v>3300</v>
          </cell>
          <cell r="G7" t="str">
            <v>Captured</v>
          </cell>
        </row>
        <row r="8">
          <cell r="C8" t="str">
            <v>Alpha Mart</v>
          </cell>
          <cell r="F8">
            <v>5400</v>
          </cell>
          <cell r="G8" t="str">
            <v>Chargeback</v>
          </cell>
        </row>
        <row r="9">
          <cell r="C9" t="str">
            <v>Beta Stores</v>
          </cell>
          <cell r="F9">
            <v>4114</v>
          </cell>
          <cell r="G9" t="str">
            <v>Captured</v>
          </cell>
        </row>
        <row r="10">
          <cell r="C10" t="str">
            <v>Alpha Mart</v>
          </cell>
          <cell r="F10">
            <v>1512.5</v>
          </cell>
          <cell r="G10" t="str">
            <v>Captured</v>
          </cell>
        </row>
        <row r="11">
          <cell r="C11" t="str">
            <v>Beta Stores</v>
          </cell>
          <cell r="F11">
            <v>7381</v>
          </cell>
          <cell r="G11" t="str">
            <v>Captured</v>
          </cell>
        </row>
        <row r="12">
          <cell r="C12" t="str">
            <v>Alpha Mart</v>
          </cell>
          <cell r="F12">
            <v>2359.5</v>
          </cell>
          <cell r="G12" t="str">
            <v>Failed E05 Timeout</v>
          </cell>
        </row>
        <row r="13">
          <cell r="C13" t="str">
            <v>Beta Stores</v>
          </cell>
          <cell r="F13">
            <v>3000</v>
          </cell>
          <cell r="G13" t="str">
            <v>Captured</v>
          </cell>
        </row>
        <row r="14">
          <cell r="C14" t="str">
            <v>Alpha Mart</v>
          </cell>
          <cell r="F14">
            <v>3720</v>
          </cell>
          <cell r="G14" t="str">
            <v>Captured</v>
          </cell>
        </row>
        <row r="15">
          <cell r="C15" t="str">
            <v>Beta Stores</v>
          </cell>
          <cell r="F15">
            <v>5640</v>
          </cell>
          <cell r="G15" t="str">
            <v>Captured</v>
          </cell>
        </row>
        <row r="16">
          <cell r="C16" t="str">
            <v>Alpha Mart</v>
          </cell>
          <cell r="F16">
            <v>1560</v>
          </cell>
          <cell r="G16" t="str">
            <v>Captured</v>
          </cell>
        </row>
        <row r="17">
          <cell r="C17" t="str">
            <v>Beta Stores</v>
          </cell>
          <cell r="F17">
            <v>2596</v>
          </cell>
          <cell r="G17" t="str">
            <v>Failed E05 Timeout</v>
          </cell>
        </row>
        <row r="18">
          <cell r="C18" t="str">
            <v>Beta Stores</v>
          </cell>
          <cell r="F18">
            <v>2124</v>
          </cell>
          <cell r="G18" t="str">
            <v>Failed E05 Timeout</v>
          </cell>
        </row>
        <row r="19">
          <cell r="C19" t="str">
            <v>Beta Stores</v>
          </cell>
          <cell r="F19">
            <v>1711</v>
          </cell>
          <cell r="G19" t="str">
            <v>Chargeback</v>
          </cell>
        </row>
        <row r="20">
          <cell r="C20" t="str">
            <v>Alpha Mart</v>
          </cell>
          <cell r="F20">
            <v>3068</v>
          </cell>
          <cell r="G20" t="str">
            <v>Failed E05 Timeout</v>
          </cell>
        </row>
        <row r="21">
          <cell r="C21" t="str">
            <v>Alpha Mart</v>
          </cell>
          <cell r="F21">
            <v>6136</v>
          </cell>
          <cell r="G21" t="str">
            <v>Captured</v>
          </cell>
        </row>
        <row r="22">
          <cell r="C22" t="str">
            <v>Beta Stores</v>
          </cell>
          <cell r="F22">
            <v>3927</v>
          </cell>
          <cell r="G22" t="str">
            <v>Captured</v>
          </cell>
        </row>
        <row r="23">
          <cell r="C23" t="str">
            <v>Alpha Mart</v>
          </cell>
          <cell r="F23">
            <v>4879</v>
          </cell>
          <cell r="G23" t="str">
            <v>Captured</v>
          </cell>
        </row>
        <row r="24">
          <cell r="C24" t="str">
            <v>City Pharma</v>
          </cell>
          <cell r="F24">
            <v>5616</v>
          </cell>
          <cell r="G24" t="str">
            <v>Captured</v>
          </cell>
        </row>
        <row r="25">
          <cell r="C25" t="str">
            <v>Eco Home</v>
          </cell>
          <cell r="F25">
            <v>6649</v>
          </cell>
          <cell r="G25" t="str">
            <v>Chargeback</v>
          </cell>
        </row>
        <row r="26">
          <cell r="C26" t="str">
            <v>City Pharma</v>
          </cell>
          <cell r="F26">
            <v>3024</v>
          </cell>
          <cell r="G26" t="str">
            <v>Captured</v>
          </cell>
        </row>
        <row r="27">
          <cell r="C27" t="str">
            <v>Eco Home</v>
          </cell>
          <cell r="F27">
            <v>3597</v>
          </cell>
          <cell r="G27" t="str">
            <v>Failed E05 Timeout</v>
          </cell>
        </row>
        <row r="28">
          <cell r="C28" t="str">
            <v>Delta Travels</v>
          </cell>
          <cell r="F28">
            <v>7200</v>
          </cell>
          <cell r="G28" t="str">
            <v>Captured</v>
          </cell>
        </row>
        <row r="29">
          <cell r="C29" t="str">
            <v>Delta Travels</v>
          </cell>
          <cell r="F29">
            <v>3100</v>
          </cell>
          <cell r="G29" t="str">
            <v>Captured</v>
          </cell>
        </row>
        <row r="30">
          <cell r="C30" t="str">
            <v>Delta Travels</v>
          </cell>
          <cell r="F30">
            <v>2500</v>
          </cell>
          <cell r="G30" t="str">
            <v>Chargeback</v>
          </cell>
        </row>
        <row r="31">
          <cell r="C31" t="str">
            <v>Delta Travels</v>
          </cell>
          <cell r="F31">
            <v>1800</v>
          </cell>
          <cell r="G31" t="str">
            <v>Failed E05 Timeout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2606E2-B383-4420-B44C-26C71AECC329}">
  <dimension ref="A1:K6"/>
  <sheetViews>
    <sheetView tabSelected="1" workbookViewId="0">
      <selection activeCell="J11" sqref="J11"/>
    </sheetView>
  </sheetViews>
  <sheetFormatPr defaultRowHeight="14.25" x14ac:dyDescent="0.45"/>
  <cols>
    <col min="1" max="1" width="10.53125" bestFit="1" customWidth="1"/>
    <col min="2" max="2" width="13.53125" bestFit="1" customWidth="1"/>
    <col min="3" max="3" width="14.796875" bestFit="1" customWidth="1"/>
    <col min="4" max="4" width="15.796875" bestFit="1" customWidth="1"/>
    <col min="5" max="5" width="11.86328125" bestFit="1" customWidth="1"/>
    <col min="7" max="7" width="11.73046875" bestFit="1" customWidth="1"/>
    <col min="8" max="8" width="15" bestFit="1" customWidth="1"/>
    <col min="9" max="9" width="18.46484375" bestFit="1" customWidth="1"/>
    <col min="10" max="10" width="20.46484375" bestFit="1" customWidth="1"/>
    <col min="11" max="11" width="19.3984375" bestFit="1" customWidth="1"/>
  </cols>
  <sheetData>
    <row r="1" spans="1:11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28</v>
      </c>
      <c r="G1" t="s">
        <v>29</v>
      </c>
      <c r="H1" t="s">
        <v>30</v>
      </c>
      <c r="I1" t="s">
        <v>31</v>
      </c>
      <c r="J1" t="s">
        <v>32</v>
      </c>
      <c r="K1" t="s">
        <v>33</v>
      </c>
    </row>
    <row r="2" spans="1:11" x14ac:dyDescent="0.45">
      <c r="A2" t="s">
        <v>5</v>
      </c>
      <c r="B2" t="s">
        <v>6</v>
      </c>
      <c r="C2" t="s">
        <v>7</v>
      </c>
      <c r="D2" t="s">
        <v>8</v>
      </c>
      <c r="E2" t="s">
        <v>9</v>
      </c>
      <c r="F2">
        <f>SUMIF([1]transactions_raw!$C$2:$C$31, B2, [1]transactions_raw!$F$2:$F$31)</f>
        <v>40812</v>
      </c>
      <c r="G2">
        <f>SUMIFS([1]transactions_raw!$F$2:$F$31, [1]transactions_raw!$C$2:$C$31, B2, [1]transactions_raw!$G$2:$G$31, "Captured")</f>
        <v>29984.5</v>
      </c>
      <c r="H2">
        <f>COUNTIF([1]transactions_raw!$C$2:$C$31, B2)</f>
        <v>11</v>
      </c>
      <c r="I2">
        <f>COUNTIFS([1]transactions_raw!$C$2:$C$31, B2, [1]transactions_raw!$G$2:$G$31, "Captured")</f>
        <v>8</v>
      </c>
      <c r="J2">
        <f>COUNTIFS([1]transactions_raw!$C$2:$C$31, B2, [1]transactions_raw!$G$2:$G$31, "Chargeback")</f>
        <v>1</v>
      </c>
      <c r="K2" s="1">
        <f>J2/H2</f>
        <v>9.0909090909090912E-2</v>
      </c>
    </row>
    <row r="3" spans="1:11" x14ac:dyDescent="0.45">
      <c r="A3" t="s">
        <v>10</v>
      </c>
      <c r="B3" t="s">
        <v>11</v>
      </c>
      <c r="C3" t="s">
        <v>12</v>
      </c>
      <c r="D3" t="s">
        <v>13</v>
      </c>
      <c r="E3" t="s">
        <v>9</v>
      </c>
      <c r="F3">
        <f>SUMIF([1]transactions_raw!$C$2:$C$31, B3, [1]transactions_raw!$F$2:$F$31)</f>
        <v>41782</v>
      </c>
      <c r="G3">
        <f>SUMIFS([1]transactions_raw!$F$2:$F$31, [1]transactions_raw!$C$2:$C$31, B3, [1]transactions_raw!$G$2:$G$31, "Captured")</f>
        <v>33431</v>
      </c>
      <c r="H3">
        <f>COUNTIF([1]transactions_raw!$C$2:$C$31, B3)</f>
        <v>11</v>
      </c>
      <c r="I3">
        <f>COUNTIFS([1]transactions_raw!$C$2:$C$31, B3, [1]transactions_raw!$G$2:$G$31, "Captured")</f>
        <v>7</v>
      </c>
      <c r="J3">
        <f>COUNTIFS([1]transactions_raw!$C$2:$C$31, B3, [1]transactions_raw!$G$2:$G$31, "Chargeback")</f>
        <v>1</v>
      </c>
      <c r="K3" s="1">
        <f t="shared" ref="K3:K6" si="0">J3/H3</f>
        <v>9.0909090909090912E-2</v>
      </c>
    </row>
    <row r="4" spans="1:11" x14ac:dyDescent="0.45">
      <c r="A4" t="s">
        <v>14</v>
      </c>
      <c r="B4" t="s">
        <v>15</v>
      </c>
      <c r="C4" t="s">
        <v>16</v>
      </c>
      <c r="D4" t="s">
        <v>17</v>
      </c>
      <c r="E4" t="s">
        <v>18</v>
      </c>
      <c r="F4">
        <f>SUMIF([1]transactions_raw!$C$2:$C$31, B4, [1]transactions_raw!$F$2:$F$31)</f>
        <v>8640</v>
      </c>
      <c r="G4">
        <f>SUMIFS([1]transactions_raw!$F$2:$F$31, [1]transactions_raw!$C$2:$C$31, B4, [1]transactions_raw!$G$2:$G$31, "Captured")</f>
        <v>8640</v>
      </c>
      <c r="H4">
        <f>COUNTIF([1]transactions_raw!$C$2:$C$31, B4)</f>
        <v>2</v>
      </c>
      <c r="I4">
        <f>COUNTIFS([1]transactions_raw!$C$2:$C$31, B4, [1]transactions_raw!$G$2:$G$31, "Captured")</f>
        <v>2</v>
      </c>
      <c r="J4">
        <f>COUNTIFS([1]transactions_raw!$C$2:$C$31, B4, [1]transactions_raw!$G$2:$G$31, "Chargeback")</f>
        <v>0</v>
      </c>
      <c r="K4" s="1">
        <f t="shared" si="0"/>
        <v>0</v>
      </c>
    </row>
    <row r="5" spans="1:11" x14ac:dyDescent="0.45">
      <c r="A5" t="s">
        <v>19</v>
      </c>
      <c r="B5" t="s">
        <v>20</v>
      </c>
      <c r="C5" t="s">
        <v>21</v>
      </c>
      <c r="D5" t="s">
        <v>22</v>
      </c>
      <c r="E5" t="s">
        <v>23</v>
      </c>
      <c r="F5">
        <f>SUMIF([1]transactions_raw!$C$2:$C$31, B5, [1]transactions_raw!$F$2:$F$31)</f>
        <v>14600</v>
      </c>
      <c r="G5">
        <f>SUMIFS([1]transactions_raw!$F$2:$F$31, [1]transactions_raw!$C$2:$C$31, B5, [1]transactions_raw!$G$2:$G$31, "Captured")</f>
        <v>10300</v>
      </c>
      <c r="H5">
        <f>COUNTIF([1]transactions_raw!$C$2:$C$31, B5)</f>
        <v>4</v>
      </c>
      <c r="I5">
        <f>COUNTIFS([1]transactions_raw!$C$2:$C$31, B5, [1]transactions_raw!$G$2:$G$31, "Captured")</f>
        <v>2</v>
      </c>
      <c r="J5">
        <f>COUNTIFS([1]transactions_raw!$C$2:$C$31, B5, [1]transactions_raw!$G$2:$G$31, "Chargeback")</f>
        <v>1</v>
      </c>
      <c r="K5" s="1">
        <f t="shared" si="0"/>
        <v>0.25</v>
      </c>
    </row>
    <row r="6" spans="1:11" x14ac:dyDescent="0.45">
      <c r="A6" t="s">
        <v>24</v>
      </c>
      <c r="B6" t="s">
        <v>25</v>
      </c>
      <c r="C6" t="s">
        <v>26</v>
      </c>
      <c r="D6" t="s">
        <v>27</v>
      </c>
      <c r="E6" t="s">
        <v>18</v>
      </c>
      <c r="F6">
        <f>SUMIF([1]transactions_raw!$C$2:$C$31, B6, [1]transactions_raw!$F$2:$F$31)</f>
        <v>10246</v>
      </c>
      <c r="G6">
        <f>SUMIFS([1]transactions_raw!$F$2:$F$31, [1]transactions_raw!$C$2:$C$31, B6, [1]transactions_raw!$G$2:$G$31, "Captured")</f>
        <v>0</v>
      </c>
      <c r="H6">
        <f>COUNTIF([1]transactions_raw!$C$2:$C$31, B6)</f>
        <v>2</v>
      </c>
      <c r="I6">
        <f>COUNTIFS([1]transactions_raw!$C$2:$C$31, B6, [1]transactions_raw!$G$2:$G$31, "Captured")</f>
        <v>0</v>
      </c>
      <c r="J6">
        <f>COUNTIFS([1]transactions_raw!$C$2:$C$31, B6, [1]transactions_raw!$G$2:$G$31, "Chargeback")</f>
        <v>1</v>
      </c>
      <c r="K6" s="1">
        <f t="shared" si="0"/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lalchandanikanak@outlook.com</dc:creator>
  <cp:lastModifiedBy>lalchandanikanak@outlook.com</cp:lastModifiedBy>
  <dcterms:created xsi:type="dcterms:W3CDTF">2026-05-09T10:55:26Z</dcterms:created>
  <dcterms:modified xsi:type="dcterms:W3CDTF">2026-05-09T11:14:03Z</dcterms:modified>
</cp:coreProperties>
</file>